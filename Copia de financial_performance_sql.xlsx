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enovo\Downloads\"/>
    </mc:Choice>
  </mc:AlternateContent>
  <xr:revisionPtr revIDLastSave="0" documentId="8_{4F5FC268-834C-4BA2-BB11-75C2B7FC3A4C}" xr6:coauthVersionLast="36" xr6:coauthVersionMax="36" xr10:uidLastSave="{00000000-0000-0000-0000-000000000000}"/>
  <bookViews>
    <workbookView xWindow="0" yWindow="0" windowWidth="23040" windowHeight="10380" xr2:uid="{00000000-000D-0000-FFFF-FFFF00000000}"/>
  </bookViews>
  <sheets>
    <sheet name="Dashboard" sheetId="2" r:id="rId1"/>
  </sheets>
  <definedNames>
    <definedName name="Lower_Limit">#REF!</definedName>
    <definedName name="Lower_percentile">#REF!</definedName>
    <definedName name="monthly_target">#REF!</definedName>
    <definedName name="Selected_Month">#REF!</definedName>
    <definedName name="Upper_Limit">#REF!</definedName>
    <definedName name="Upper_percentile">#REF!</definedName>
  </definedNames>
  <calcPr calcId="0"/>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<sst xmlns="http://schemas.openxmlformats.org/spreadsheetml/2006/main" count="30" uniqueCount="30">
  <si>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</si>
  <si>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</si>
  <si>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</si>
  <si>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</si>
  <si>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</si>
  <si>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</si>
  <si>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</si>
  <si>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</si>
  <si>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</si>
  <si>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</si>
  <si>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</si>
  <si>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</si>
  <si>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 xml:space="preserve">Tomé los datos financieros de cada país revisando la tabla con toda la información más relevante en materia monetaria (como los ingresos, costos, gasto de campañas, beneficio bruto, margen y ROI); aquí intenté resolver las dudas sobre las ganancias por país —es decir, el beneficiio bruto— y la rentabilidad del mercardo restando costos de marketing. Comparé las distintas métricas y sus porcentajes, contal de poder resolver dónde está el maoyr aporte económico y encontrar el punto donde las campáñas están inviertiendo de más y recibiendo menos ROI.  </t>
  </si>
  <si>
    <t>United Kingdom</t>
  </si>
  <si>
    <t>Germany</t>
  </si>
  <si>
    <t>Hallazgos</t>
  </si>
  <si>
    <t>France</t>
  </si>
  <si>
    <t xml:space="preserve">1) USA, por un lardo: es el mayor y mejor mercado [3.35M], beneficio bruto [1.45M] y el ROI más alto [0.7575]. Por otro lado: su beneficio Bruto no alcanza a cubrir el gasto de campañas (1.45M vs 1.92M). La deducción es simple: busquemos mejorar este gasto en USA. </t>
  </si>
  <si>
    <t>Canada</t>
  </si>
  <si>
    <t xml:space="preserve">2) Hay unos países en los que la efectividad del marketing no está siendo muy efectiva, ya que si bien generan márgenes altos de ganancia (por ejemplo, Canadá tiene un beneficio Bruto de 0.32M, y ofrece un 44,76 %) tiene un ROI bajito (de un 0,1743) y un gasto de 1.82M. Sus costos casi igualan a los invertidos en USA, por mucha menos ganancia. El ROI% de USA es del 75.75% y el de canada es 17%. Claramente, son dos mercados distitos, por lo tanto, invertir tanto en Canadá para tan poco ROI no es viable. Lo mismo pasa en Francia y Reino unido. </t>
  </si>
  <si>
    <t>¿Cuál es la diferencia entre Margen y ROI?</t>
  </si>
  <si>
    <t xml:space="preserve">1) En breve,el ROI calcula la eficiencia del marketing al relacionar los beneficios contra el costo de las capañas. En cambio, el margen mire la rentabilidad que apunta a las ventas, es decir, los beneficios sobre los ingresos definitivos que queden al final. Muchos son los casos dnde se tienen alta rentabilidad pero bajo ROI, ya que el gasto de marketing es excesivo para el tamaño de ventas. Como es el caso de canada en el ejercicio. </t>
  </si>
  <si>
    <t xml:space="preserve">3) El ROI cambia más que todoo por el gasto de campañas VS el tamaño del mercado. Miren que los márgenes tienen un rango basante estrecho —entre un 41 a un 44%— peeero, en el ROI es donde nos damos cuenta que hay campañas donde los ingresos+beneficios son menores. La deducción es la siguiente: el ROI disminuye en países donde el gasto en campañas es similar al de otros mercanos; pero hay un caso curioso, pongo el ehemplo de Australia: tiene un margen de 41% pero su ROI es de 49%. </t>
  </si>
  <si>
    <t>¿Por qué el ROI en Estados Unidos es tan alto comparado con otros países?</t>
  </si>
  <si>
    <t>Estados Unidos lidera en volumen de ingresos (3.35M), beneficio bruto (1.45M) y ROI (75.75%), impulsado por el tamaño y dinamismo de su mercado de consumo.</t>
  </si>
  <si>
    <t>Implicación</t>
  </si>
  <si>
    <t>Si aumentáramos el gasto de campañas en un 50%, ¿qué pasaría con el ROI?</t>
  </si>
  <si>
    <t xml:space="preserve">1) Propongo reasignar y redistribuir el marketing budget de la sigiuente manera: vimos que Canadá,Francia,Alemania y Reino Unido no están dando su mejor resultado, entonces reduzcámosles la inversión: rediseñemos las campañas de marketing; recordemos que son un público europeo (aunque Canadá es americana, son bastante europeos en su consumo y su estilo de vida), el marketing en Francia prevalece cuando la camapaña es más intelectual y openmind, por ejemplo. Por otro lardo, USA y Australia deben ser nuestra prioridad; pongámonos una meta de mejorar el ROI en tiempos claros, en cada Q del año, por ejemplo). 
</t>
  </si>
  <si>
    <t>Un incremento del 50% en el gasto de campañas sin un aumento equivalente en beneficio bruto reduciría el ROI. La estrategia óptima es incrementar la inversión de forma gradual y controlada, monitoreando el ROI por etapas.</t>
  </si>
  <si>
    <t>Se recomienda reasignar el presupuesto de marketing priorizando USA y Australia (mayor ROI), reduciendo inversión en mercados europeos y Canadá hasta optimizar campañas locales. Estrategia: adaptar mensajes culturalmente por mercado y escalar inversión proporcionalmente al tamaño del mercado.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</si>
</sst>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6">
    <font>
      <sz val="10"/>
      <color rgb="FF000000"/>
      <name val="Arial"/>
      <scheme val="minor"/>
    </font>
    <font>
      <sz val="10"/>
      <color theme="1"/>
      <name val="Arial"/>
      <scheme val="minor"/>
    </font>
    <font>
      <b/>
      <sz val="10"/>
      <color theme="1"/>
      <name val="Arial"/>
      <scheme val="minor"/>
    </font>
    <font>
      <b/>
      <sz val="10"/>
      <color rgb="FFFFFFFF"/>
      <name val="Arial"/>
      <scheme val="minor"/>
    </font>
    <font>
      <sz val="9"/>
      <color theme="1"/>
      <name val="Alegreya"/>
    </font>
    <font>
      <sz val="10"/>
      <color theme="1"/>
      <name val="Alegreya"/>
    </font>
  </fonts>
  <fills count="6">
    <fill>
      <patternFill patternType="none"/>
    </fill>
    <fill>
      <patternFill patternType="gray125"/>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11">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8">
    <xf numFmtId="0" fontId="0" fillId="0" borderId="0" xfId="0" applyAlignment="1"/>
    <xf numFmtId="0" fontId="2" fillId="2" borderId="0" xfId="0" applyFont="1" applyFill="1" applyAlignment="1">
      <alignment horizontal="center"/>
    </xf>
    <xf numFmtId="0" fontId="1" fillId="2" borderId="0" xfId="0" applyFont="1" applyFill="1"/>
    <xf numFmtId="0" fontId="2" fillId="0" borderId="0" xfId="0" applyFont="1" applyAlignment="1">
      <alignment horizontal="center" vertical="center"/>
    </xf>
    <xf numFmtId="0" fontId="1" fillId="0" borderId="0" xfId="0" applyFont="1" applyAlignment="1">
      <alignment vertical="center"/>
    </xf>
    <xf numFmtId="164" fontId="1" fillId="0" borderId="0" xfId="0" applyNumberFormat="1" applyFont="1" applyAlignment="1">
      <alignment vertical="center"/>
    </xf>
    <xf numFmtId="10" fontId="1" fillId="0" borderId="0" xfId="0" applyNumberFormat="1" applyFont="1" applyAlignment="1">
      <alignment vertical="center"/>
    </xf>
    <xf numFmtId="0" fontId="2" fillId="4" borderId="3" xfId="0" applyFont="1" applyFill="1" applyBorder="1" applyAlignment="1">
      <alignment horizontal="right" vertical="center"/>
    </xf>
    <xf numFmtId="0" fontId="1" fillId="4" borderId="0" xfId="0" applyFont="1" applyFill="1" applyAlignment="1">
      <alignment horizontal="right" vertical="center"/>
    </xf>
    <xf numFmtId="0" fontId="1" fillId="4" borderId="4" xfId="0" applyFont="1" applyFill="1" applyBorder="1" applyAlignment="1">
      <alignment horizontal="right" vertical="center"/>
    </xf>
    <xf numFmtId="0" fontId="1" fillId="2" borderId="0" xfId="0" applyFont="1" applyFill="1" applyAlignment="1">
      <alignment horizontal="right" vertical="center"/>
    </xf>
    <xf numFmtId="0" fontId="0" fillId="0" borderId="0" xfId="0"/>
    <xf numFmtId="0" fontId="2" fillId="4" borderId="8" xfId="0" applyFont="1" applyFill="1" applyBorder="1" applyAlignment="1">
      <alignment horizontal="left" vertical="center"/>
    </xf>
    <xf numFmtId="0" fontId="0" fillId="0" borderId="0" xfId="0"/>
    <xf numFmtId="0" fontId="0" fillId="0" borderId="4" xfId="0" applyBorder="1"/>
    <xf numFmtId="0" fontId="4" fillId="5" borderId="8" xfId="0" applyFont="1" applyFill="1" applyBorder="1" applyAlignment="1">
      <alignment horizontal="left" vertical="top" wrapText="1"/>
    </xf>
    <xf numFmtId="0" fontId="3" fillId="3" borderId="10" xfId="0" applyFont="1" applyFill="1" applyBorder="1" applyAlignment="1">
      <alignment horizontal="center" vertical="center"/>
    </xf>
    <xf numFmtId="0" fontId="0" fillId="0" borderId="1" xfId="0" applyBorder="1"/>
    <xf numFmtId="0" fontId="0" fillId="0" borderId="2" xfId="0" applyBorder="1"/>
    <xf numFmtId="0" fontId="4" fillId="5" borderId="9" xfId="0" applyFont="1" applyFill="1" applyBorder="1" applyAlignment="1">
      <alignment horizontal="left" vertical="top" wrapText="1"/>
    </xf>
    <xf numFmtId="0" fontId="0" fillId="0" borderId="6" xfId="0" applyBorder="1"/>
    <xf numFmtId="0" fontId="0" fillId="0" borderId="7" xfId="0" applyBorder="1"/>
    <xf numFmtId="0" fontId="5" fillId="5" borderId="8" xfId="0" applyFont="1" applyFill="1" applyBorder="1" applyAlignment="1">
      <alignment horizontal="left" vertical="top" wrapText="1"/>
    </xf>
    <xf numFmtId="0" fontId="0" fillId="0" borderId="3" xfId="0" applyBorder="1"/>
    <xf numFmtId="0" fontId="2" fillId="4" borderId="10" xfId="0" applyFont="1" applyFill="1" applyBorder="1" applyAlignment="1">
      <alignment horizontal="left" vertical="center"/>
    </xf>
    <xf numFmtId="0" fontId="4" fillId="5" borderId="8" xfId="0" applyFont="1" applyFill="1" applyBorder="1" applyAlignment="1">
      <alignment horizontal="left" vertical="center" wrapText="1"/>
    </xf>
    <xf numFmtId="0" fontId="1" fillId="5" borderId="9" xfId="0" applyFont="1" applyFill="1" applyBorder="1" applyAlignment="1">
      <alignment horizontal="left" vertical="top" wrapText="1"/>
    </xf>
    <xf numFmtId="0" fontId="0" fillId="0" borderId="5" xfId="0" applyBorder="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9" defaultPivotStyle="PivotStyleLight16">
    <tableStyle name="Dashboard-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I8">
  <tableColumns count="8">
    <tableColumn id="1" xr3:uid="{00000000-0010-0000-0000-000001000000}" name="Pais"/>
    <tableColumn id="2" xr3:uid="{00000000-0010-0000-0000-000002000000}" name="ClaveTerritorio"/>
    <tableColumn id="3" xr3:uid="{00000000-0010-0000-0000-000003000000}" name="ingresos"/>
    <tableColumn id="4" xr3:uid="{00000000-0010-0000-0000-000004000000}" name="costos"/>
    <tableColumn id="5" xr3:uid="{00000000-0010-0000-0000-000005000000}" name="CostoCampanas"/>
    <tableColumn id="6" xr3:uid="{00000000-0010-0000-0000-000006000000}" name="BeneficioBruto"/>
    <tableColumn id="7" xr3:uid="{00000000-0010-0000-0000-000007000000}" name="Margen_pct"/>
    <tableColumn id="8" xr3:uid="{00000000-0010-0000-0000-000008000000}" name="ROI_pct"/>
  </tableColumns>
  <tableStyleInfo name="Dashboar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D9EEB"/>
    <outlinePr summaryBelow="0" summaryRight="0"/>
  </sheetPr>
  <dimension ref="A1:N18"/>
  <sheetViews>
    <sheetView showGridLines="0" tabSelected="1" workbookViewId="0"/>
  </sheetViews>
  <sheetFormatPr baseColWidth="10" defaultColWidth="12.6640625" defaultRowHeight="15.75" customHeight="1"/>
  <cols>
    <col min="1" max="1" width="2.33203125" style="11" customWidth="1"/>
    <col min="2" max="2" width="14.109375" style="11" customWidth="1"/>
    <col min="3" max="3" width="16.6640625" style="11" customWidth="1"/>
    <col min="4" max="4" width="15.21875" style="11" customWidth="1"/>
    <col min="5" max="5" width="13.77734375" style="11" customWidth="1"/>
    <col min="6" max="6" width="21" style="11" customWidth="1"/>
    <col min="7" max="7" width="19.88671875" style="11" customWidth="1"/>
    <col min="8" max="8" width="17.6640625" style="11" customWidth="1"/>
    <col min="9" max="9" width="14.44140625" style="11" customWidth="1"/>
    <col min="10" max="10" width="2.33203125" style="11" customWidth="1"/>
    <col min="11" max="13" width="12" style="11" customWidth="1"/>
    <col min="14" max="14" width="2.33203125" style="11" customWidth="1"/>
  </cols>
  <sheetData>
    <row r="1" spans="1:14" ht="13.2">
      <c r="A1" s="1"/>
      <c r="B1" s="1"/>
      <c r="C1" s="1"/>
      <c r="D1" s="1"/>
      <c r="E1" s="2"/>
      <c r="F1" s="1"/>
      <c r="G1" s="1"/>
      <c r="H1" s="1"/>
      <c r="I1" s="2"/>
      <c r="J1" s="2"/>
      <c r="K1" s="1"/>
      <c r="L1" s="1"/>
      <c r="M1" s="1"/>
      <c r="N1" s="2"/>
    </row>
    <row r="2" spans="1:14" ht="22.5" customHeight="1">
      <c r="A2" s="2"/>
      <c r="B2" s="3" t="s">
        <v>0</v>
      </c>
      <c r="C2" s="3" t="s">
        <v>1</v>
      </c>
      <c r="D2" s="3" t="s">
        <v>2</v>
      </c>
      <c r="E2" s="3" t="s">
        <v>3</v>
      </c>
      <c r="F2" s="3" t="s">
        <v>4</v>
      </c>
      <c r="G2" s="3" t="s">
        <v>5</v>
      </c>
      <c r="H2" s="3" t="s">
        <v>6</v>
      </c>
      <c r="I2" s="3" t="s">
        <v>7</v>
      </c>
      <c r="J2" s="2"/>
      <c r="K2" s="16" t="s">
        <v>8</v>
      </c>
      <c r="L2" s="17"/>
      <c r="M2" s="18"/>
      <c r="N2" s="2"/>
    </row>
    <row r="3" spans="1:14" ht="19.5" customHeight="1">
      <c r="A3" s="2"/>
      <c r="B3" s="4" t="s">
        <v>9</v>
      </c>
      <c r="C3" s="4">
        <v>1</v>
      </c>
      <c r="D3" s="5">
        <v>3353939.92</v>
      </c>
      <c r="E3" s="5">
        <v>1899471.33</v>
      </c>
      <c r="F3" s="5">
        <v>1920000</v>
      </c>
      <c r="G3" s="5">
        <v>1454468.6</v>
      </c>
      <c r="H3" s="6">
        <v>0.43369999999999997</v>
      </c>
      <c r="I3" s="6">
        <v>0.75749999999999995</v>
      </c>
      <c r="J3" s="2"/>
      <c r="K3" s="7" t="s">
        <v>10</v>
      </c>
      <c r="L3" s="8"/>
      <c r="M3" s="9"/>
      <c r="N3" s="2"/>
    </row>
    <row r="4" spans="1:14" ht="19.5" customHeight="1">
      <c r="A4" s="10"/>
      <c r="B4" s="4" t="s">
        <v>11</v>
      </c>
      <c r="C4" s="4">
        <v>9</v>
      </c>
      <c r="D4" s="5">
        <v>2532003.4900000002</v>
      </c>
      <c r="E4" s="5">
        <v>1474958.18</v>
      </c>
      <c r="F4" s="5">
        <v>2150400</v>
      </c>
      <c r="G4" s="5">
        <v>1057045.31</v>
      </c>
      <c r="H4" s="6">
        <v>0.41749999999999998</v>
      </c>
      <c r="I4" s="6">
        <v>0.49159999999999998</v>
      </c>
      <c r="J4" s="10"/>
      <c r="K4" s="25" t="s">
        <v>12</v>
      </c>
      <c r="L4" s="13"/>
      <c r="M4" s="14"/>
      <c r="N4" s="10"/>
    </row>
    <row r="5" spans="1:14" ht="19.5" customHeight="1">
      <c r="A5" s="2"/>
      <c r="B5" s="4" t="s">
        <v>13</v>
      </c>
      <c r="C5" s="4">
        <v>10</v>
      </c>
      <c r="D5" s="5">
        <v>1189636.78</v>
      </c>
      <c r="E5" s="5">
        <v>681508.55</v>
      </c>
      <c r="F5" s="5">
        <v>2304000</v>
      </c>
      <c r="G5" s="5">
        <v>508128.24</v>
      </c>
      <c r="H5" s="6">
        <v>0.42709999999999998</v>
      </c>
      <c r="I5" s="6">
        <v>0.2205</v>
      </c>
      <c r="J5" s="2"/>
      <c r="K5" s="23"/>
      <c r="L5" s="13"/>
      <c r="M5" s="14"/>
      <c r="N5" s="2"/>
    </row>
    <row r="6" spans="1:14" ht="19.5" customHeight="1">
      <c r="A6" s="2"/>
      <c r="B6" s="4" t="s">
        <v>14</v>
      </c>
      <c r="C6" s="4">
        <v>8</v>
      </c>
      <c r="D6" s="5">
        <v>1071460.42</v>
      </c>
      <c r="E6" s="5">
        <v>611295.36</v>
      </c>
      <c r="F6" s="5">
        <v>2265600</v>
      </c>
      <c r="G6" s="5">
        <v>460165.06</v>
      </c>
      <c r="H6" s="6">
        <v>0.42949999999999999</v>
      </c>
      <c r="I6" s="6">
        <v>0.2031</v>
      </c>
      <c r="J6" s="2"/>
      <c r="K6" s="7" t="s">
        <v>15</v>
      </c>
      <c r="L6" s="8"/>
      <c r="M6" s="9"/>
      <c r="N6" s="2"/>
    </row>
    <row r="7" spans="1:14" ht="19.5" customHeight="1">
      <c r="A7" s="10"/>
      <c r="B7" s="4" t="s">
        <v>16</v>
      </c>
      <c r="C7" s="4">
        <v>7</v>
      </c>
      <c r="D7" s="5">
        <v>924316.93</v>
      </c>
      <c r="E7" s="5">
        <v>527797.14</v>
      </c>
      <c r="F7" s="5">
        <v>2208000</v>
      </c>
      <c r="G7" s="5">
        <v>396519.79</v>
      </c>
      <c r="H7" s="6">
        <v>0.42899999999999999</v>
      </c>
      <c r="I7" s="6">
        <v>0.17960000000000001</v>
      </c>
      <c r="J7" s="10"/>
      <c r="K7" s="15" t="s">
        <v>17</v>
      </c>
      <c r="L7" s="13"/>
      <c r="M7" s="14"/>
      <c r="N7" s="10"/>
    </row>
    <row r="8" spans="1:14" ht="19.5" customHeight="1">
      <c r="A8" s="2"/>
      <c r="B8" s="4" t="s">
        <v>18</v>
      </c>
      <c r="C8" s="4">
        <v>6</v>
      </c>
      <c r="D8" s="5">
        <v>710205.18</v>
      </c>
      <c r="E8" s="5">
        <v>392325.91</v>
      </c>
      <c r="F8" s="5">
        <v>1824000</v>
      </c>
      <c r="G8" s="5">
        <v>317879.27</v>
      </c>
      <c r="H8" s="6">
        <v>0.4476</v>
      </c>
      <c r="I8" s="6">
        <v>0.17430000000000001</v>
      </c>
      <c r="J8" s="2"/>
      <c r="K8" s="23"/>
      <c r="L8" s="13"/>
      <c r="M8" s="14"/>
      <c r="N8" s="2"/>
    </row>
    <row r="9" spans="1:14" ht="19.5" customHeight="1">
      <c r="A9" s="2"/>
      <c r="B9" s="2"/>
      <c r="C9" s="2"/>
      <c r="D9" s="2"/>
      <c r="E9" s="2"/>
      <c r="F9" s="2"/>
      <c r="G9" s="2"/>
      <c r="H9" s="2"/>
      <c r="I9" s="2"/>
      <c r="J9" s="2"/>
      <c r="K9" s="15" t="s">
        <v>19</v>
      </c>
      <c r="L9" s="13"/>
      <c r="M9" s="14"/>
      <c r="N9" s="2"/>
    </row>
    <row r="10" spans="1:14" ht="19.5" customHeight="1">
      <c r="A10" s="2"/>
      <c r="B10" s="24" t="s">
        <v>20</v>
      </c>
      <c r="C10" s="17"/>
      <c r="D10" s="17"/>
      <c r="E10" s="17"/>
      <c r="F10" s="17"/>
      <c r="G10" s="17"/>
      <c r="H10" s="17"/>
      <c r="I10" s="18"/>
      <c r="J10" s="2"/>
      <c r="K10" s="23"/>
      <c r="L10" s="13"/>
      <c r="M10" s="14"/>
      <c r="N10" s="2"/>
    </row>
    <row r="11" spans="1:14" ht="19.5" customHeight="1">
      <c r="A11" s="2"/>
      <c r="B11" s="22" t="s">
        <v>21</v>
      </c>
      <c r="C11" s="13"/>
      <c r="D11" s="13"/>
      <c r="E11" s="13"/>
      <c r="F11" s="13"/>
      <c r="G11" s="13"/>
      <c r="H11" s="13"/>
      <c r="I11" s="14"/>
      <c r="J11" s="2"/>
      <c r="K11" s="15" t="s">
        <v>22</v>
      </c>
      <c r="L11" s="13"/>
      <c r="M11" s="14"/>
      <c r="N11" s="2"/>
    </row>
    <row r="12" spans="1:14" ht="19.5" customHeight="1">
      <c r="A12" s="2"/>
      <c r="B12" s="12" t="s">
        <v>23</v>
      </c>
      <c r="C12" s="13"/>
      <c r="D12" s="13"/>
      <c r="E12" s="13"/>
      <c r="F12" s="13"/>
      <c r="G12" s="13"/>
      <c r="H12" s="13"/>
      <c r="I12" s="14"/>
      <c r="J12" s="2"/>
      <c r="K12" s="23"/>
      <c r="L12" s="13"/>
      <c r="M12" s="14"/>
      <c r="N12" s="2"/>
    </row>
    <row r="13" spans="1:14" ht="19.5" customHeight="1">
      <c r="A13" s="2"/>
      <c r="B13" s="15" t="s">
        <v>24</v>
      </c>
      <c r="C13" s="13"/>
      <c r="D13" s="13"/>
      <c r="E13" s="13"/>
      <c r="F13" s="13"/>
      <c r="G13" s="13"/>
      <c r="H13" s="13"/>
      <c r="I13" s="14"/>
      <c r="J13" s="2"/>
      <c r="K13" s="7" t="s">
        <v>25</v>
      </c>
      <c r="L13" s="8"/>
      <c r="M13" s="9"/>
      <c r="N13" s="2"/>
    </row>
    <row r="14" spans="1:14" ht="19.5" customHeight="1">
      <c r="A14" s="10"/>
      <c r="B14" s="12" t="s">
        <v>26</v>
      </c>
      <c r="C14" s="13"/>
      <c r="D14" s="13"/>
      <c r="E14" s="13"/>
      <c r="F14" s="13"/>
      <c r="G14" s="13"/>
      <c r="H14" s="13"/>
      <c r="I14" s="14"/>
      <c r="J14" s="10"/>
      <c r="K14" s="15" t="s">
        <v>27</v>
      </c>
      <c r="L14" s="13"/>
      <c r="M14" s="14"/>
      <c r="N14" s="10"/>
    </row>
    <row r="15" spans="1:14" ht="19.5" customHeight="1">
      <c r="A15" s="10"/>
      <c r="B15" s="19" t="s">
        <v>28</v>
      </c>
      <c r="C15" s="20"/>
      <c r="D15" s="20"/>
      <c r="E15" s="20"/>
      <c r="F15" s="20"/>
      <c r="G15" s="20"/>
      <c r="H15" s="20"/>
      <c r="I15" s="21"/>
      <c r="J15" s="10"/>
      <c r="K15" s="23"/>
      <c r="L15" s="13"/>
      <c r="M15" s="14"/>
      <c r="N15" s="10"/>
    </row>
    <row r="16" spans="1:14" ht="19.5" customHeight="1">
      <c r="A16" s="2"/>
      <c r="B16" s="2"/>
      <c r="C16" s="2"/>
      <c r="D16" s="2"/>
      <c r="E16" s="2"/>
      <c r="F16" s="2"/>
      <c r="G16" s="2"/>
      <c r="H16" s="2"/>
      <c r="I16" s="2"/>
      <c r="J16" s="2"/>
      <c r="K16" s="26" t="s">
        <v>29</v>
      </c>
      <c r="L16" s="13"/>
      <c r="M16" s="14"/>
      <c r="N16" s="2"/>
    </row>
    <row r="17" spans="1:14" ht="19.5" customHeight="1">
      <c r="A17" s="2"/>
      <c r="B17" s="2"/>
      <c r="C17" s="2"/>
      <c r="D17" s="2"/>
      <c r="E17" s="2"/>
      <c r="F17" s="2"/>
      <c r="G17" s="2"/>
      <c r="H17" s="2"/>
      <c r="I17" s="2"/>
      <c r="J17" s="2"/>
      <c r="K17" s="27"/>
      <c r="L17" s="20"/>
      <c r="M17" s="21"/>
      <c r="N17" s="2"/>
    </row>
    <row r="18" spans="1:14" ht="13.2">
      <c r="A18" s="2"/>
      <c r="B18" s="2"/>
      <c r="C18" s="2"/>
      <c r="D18" s="2"/>
      <c r="E18" s="2"/>
      <c r="F18" s="2"/>
      <c r="G18" s="2"/>
      <c r="H18" s="2"/>
      <c r="I18" s="2"/>
      <c r="J18" s="2"/>
      <c r="K18" s="2"/>
      <c r="L18" s="2"/>
      <c r="M18" s="2"/>
      <c r="N18" s="2"/>
    </row>
  </sheetData>
  <mergeCells count="13">
    <mergeCell ref="K16:M17"/>
    <mergeCell ref="K7:M8"/>
    <mergeCell ref="B12:I12"/>
    <mergeCell ref="B13:I13"/>
    <mergeCell ref="K2:M2"/>
    <mergeCell ref="B15:I15"/>
    <mergeCell ref="B11:I11"/>
    <mergeCell ref="K14:M15"/>
    <mergeCell ref="B10:I10"/>
    <mergeCell ref="K11:M12"/>
    <mergeCell ref="K9:M10"/>
    <mergeCell ref="B14:I14"/>
    <mergeCell ref="K4:M5"/>
  </mergeCells>
  <dataValidations count="1">
    <dataValidation type="custom" allowBlank="1" showDropDown="1" sqref="D3:I8" xr:uid="{00000000-0002-0000-0100-000000000000}">
      <formula1>AND(ISNUMBER(D3),(NOT(OR(NOT(ISERROR(DATEVALUE(D3))), AND(ISNUMBER(D3), LEFT(CELL("format", D3))="D")))))</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German Rojas</cp:lastModifiedBy>
  <dcterms:created xsi:type="dcterms:W3CDTF">2026-05-11T17:35:19Z</dcterms:created>
  <dcterms:modified xsi:type="dcterms:W3CDTF">2026-05-20T02:52:53Z</dcterms:modified>
</cp:coreProperties>
</file>