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10380" tabRatio="600" firstSheet="0" activeTab="0" autoFilterDateGrouping="1"/>
  </bookViews>
  <sheets>
    <sheet xmlns:r="http://schemas.openxmlformats.org/officeDocument/2006/relationships" name="Dashboard" sheetId="1" state="visible" r:id="rId1"/>
  </sheets>
  <definedNames>
    <definedName name="Lower_Limit">#REF!</definedName>
    <definedName name="Lower_percentile">#REF!</definedName>
    <definedName name="monthly_target">#REF!</definedName>
    <definedName name="Selected_Month">#REF!</definedName>
    <definedName name="Upper_Limit">#REF!</definedName>
    <definedName name="Upper_percentile">#REF!</definedName>
  </definedNames>
  <calcPr calcId="0" fullCalcOnLoad="1"/>
</workbook>
</file>

<file path=xl/styles.xml><?xml version="1.0" encoding="utf-8"?>
<styleSheet xmlns="http://schemas.openxmlformats.org/spreadsheetml/2006/main">
  <numFmts count="1">
    <numFmt numFmtId="164" formatCode="&quot;$&quot;#,##0.00"/>
  </numFmts>
  <fonts count="6">
    <font>
      <name val="Arial"/>
      <color rgb="FF000000"/>
      <sz val="10"/>
      <scheme val="minor"/>
    </font>
    <font>
      <name val="Arial"/>
      <color theme="1"/>
      <sz val="10"/>
      <scheme val="minor"/>
    </font>
    <font>
      <name val="Arial"/>
      <b val="1"/>
      <color theme="1"/>
      <sz val="10"/>
      <scheme val="minor"/>
    </font>
    <font>
      <name val="Arial"/>
      <b val="1"/>
      <color rgb="FFFFFFFF"/>
      <sz val="10"/>
      <scheme val="minor"/>
    </font>
    <font>
      <name val="Alegreya"/>
      <color theme="1"/>
      <sz val="9"/>
    </font>
    <font>
      <name val="Alegreya"/>
      <color theme="1"/>
      <sz val="10"/>
    </font>
  </fonts>
  <fills count="6">
    <fill>
      <patternFill/>
    </fill>
    <fill>
      <patternFill patternType="gray125"/>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11">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8">
    <xf numFmtId="0" fontId="0" fillId="0" borderId="0" pivotButton="0" quotePrefix="0" xfId="0"/>
    <xf numFmtId="0" fontId="2" fillId="2" borderId="0" applyAlignment="1" pivotButton="0" quotePrefix="0" xfId="0">
      <alignment horizontal="center"/>
    </xf>
    <xf numFmtId="0" fontId="1" fillId="2" borderId="0" pivotButton="0" quotePrefix="0" xfId="0"/>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10" fontId="1" fillId="0" borderId="0" applyAlignment="1" pivotButton="0" quotePrefix="0" xfId="0">
      <alignment vertical="center"/>
    </xf>
    <xf numFmtId="0" fontId="2" fillId="4" borderId="3" applyAlignment="1" pivotButton="0" quotePrefix="0" xfId="0">
      <alignment horizontal="right" vertical="center"/>
    </xf>
    <xf numFmtId="0" fontId="1" fillId="4" borderId="0" applyAlignment="1" pivotButton="0" quotePrefix="0" xfId="0">
      <alignment horizontal="right" vertical="center"/>
    </xf>
    <xf numFmtId="0" fontId="1" fillId="4" borderId="4" applyAlignment="1" pivotButton="0" quotePrefix="0" xfId="0">
      <alignment horizontal="right" vertical="center"/>
    </xf>
    <xf numFmtId="0" fontId="1" fillId="2" borderId="0" applyAlignment="1" pivotButton="0" quotePrefix="0" xfId="0">
      <alignment horizontal="right" vertical="center"/>
    </xf>
    <xf numFmtId="0" fontId="0" fillId="0" borderId="0" pivotButton="0" quotePrefix="0" xfId="0"/>
    <xf numFmtId="0" fontId="2" fillId="4" borderId="8" applyAlignment="1" pivotButton="0" quotePrefix="0" xfId="0">
      <alignment horizontal="left" vertical="center"/>
    </xf>
    <xf numFmtId="0" fontId="0" fillId="0" borderId="0" pivotButton="0" quotePrefix="0" xfId="0"/>
    <xf numFmtId="0" fontId="0" fillId="0" borderId="4" pivotButton="0" quotePrefix="0" xfId="0"/>
    <xf numFmtId="0" fontId="4" fillId="5" borderId="8" applyAlignment="1" pivotButton="0" quotePrefix="0" xfId="0">
      <alignment horizontal="left" vertical="top" wrapText="1"/>
    </xf>
    <xf numFmtId="0" fontId="3" fillId="3" borderId="10" applyAlignment="1" pivotButton="0" quotePrefix="0" xfId="0">
      <alignment horizontal="center" vertical="center"/>
    </xf>
    <xf numFmtId="0" fontId="0" fillId="0" borderId="1" pivotButton="0" quotePrefix="0" xfId="0"/>
    <xf numFmtId="0" fontId="0" fillId="0" borderId="2" pivotButton="0" quotePrefix="0" xfId="0"/>
    <xf numFmtId="0" fontId="4" fillId="5" borderId="9" applyAlignment="1" pivotButton="0" quotePrefix="0" xfId="0">
      <alignment horizontal="left" vertical="top" wrapText="1"/>
    </xf>
    <xf numFmtId="0" fontId="0" fillId="0" borderId="6" pivotButton="0" quotePrefix="0" xfId="0"/>
    <xf numFmtId="0" fontId="0" fillId="0" borderId="7" pivotButton="0" quotePrefix="0" xfId="0"/>
    <xf numFmtId="0" fontId="5" fillId="5" borderId="8" applyAlignment="1" pivotButton="0" quotePrefix="0" xfId="0">
      <alignment horizontal="left" vertical="top" wrapText="1"/>
    </xf>
    <xf numFmtId="0" fontId="0" fillId="0" borderId="3" pivotButton="0" quotePrefix="0" xfId="0"/>
    <xf numFmtId="0" fontId="2" fillId="4" borderId="10" applyAlignment="1" pivotButton="0" quotePrefix="0" xfId="0">
      <alignment horizontal="left" vertical="center"/>
    </xf>
    <xf numFmtId="0" fontId="4" fillId="5" borderId="8" applyAlignment="1" pivotButton="0" quotePrefix="0" xfId="0">
      <alignment horizontal="left" vertical="center" wrapText="1"/>
    </xf>
    <xf numFmtId="0" fontId="1" fillId="5" borderId="9" applyAlignment="1" pivotButton="0" quotePrefix="0" xfId="0">
      <alignment horizontal="left" vertical="top" wrapText="1"/>
    </xf>
    <xf numFmtId="0" fontId="0" fillId="0" borderId="5" pivotButton="0" quotePrefix="0" xfId="0"/>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9" defaultPivotStyle="PivotStyleLight16">
    <tableStyle name="Dashboard-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B2:I8" headerRowCount="1">
  <tableColumns count="8">
    <tableColumn id="1" name="Pais"/>
    <tableColumn id="2" name="ClaveTerritorio"/>
    <tableColumn id="3" name="ingresos"/>
    <tableColumn id="4" name="costos"/>
    <tableColumn id="5" name="CostoCampanas"/>
    <tableColumn id="6" name="BeneficioBruto"/>
    <tableColumn id="7" name="Margen_pct"/>
    <tableColumn id="8" name="ROI_pct"/>
  </tableColumns>
  <tableStyleInfo name="Dashboar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6D9EEB"/>
    <outlinePr summaryBelow="0" summaryRight="0"/>
    <pageSetUpPr/>
  </sheetPr>
  <dimension ref="A1:N18"/>
  <sheetViews>
    <sheetView showGridLines="0" tabSelected="1" workbookViewId="0">
      <selection activeCell="A1" sqref="A1"/>
    </sheetView>
  </sheetViews>
  <sheetFormatPr baseColWidth="10" defaultColWidth="12.6640625" defaultRowHeight="15.75" customHeight="1"/>
  <cols>
    <col width="2.33203125" customWidth="1" style="13" min="1" max="1"/>
    <col width="14.109375" customWidth="1" style="13" min="2" max="2"/>
    <col width="16.6640625" customWidth="1" style="13" min="3" max="3"/>
    <col width="15.21875" customWidth="1" style="13" min="4" max="4"/>
    <col width="13.77734375" customWidth="1" style="13" min="5" max="5"/>
    <col width="21" customWidth="1" style="13" min="6" max="6"/>
    <col width="19.88671875" customWidth="1" style="13" min="7" max="7"/>
    <col width="17.6640625" customWidth="1" style="13" min="8" max="8"/>
    <col width="14.44140625" customWidth="1" style="13" min="9" max="9"/>
    <col width="2.33203125" customWidth="1" style="13" min="10" max="10"/>
    <col width="12" customWidth="1" style="13" min="11" max="13"/>
    <col width="2.33203125" customWidth="1" style="13" min="14" max="14"/>
  </cols>
  <sheetData>
    <row r="1" ht="13.2" customHeight="1" s="13">
      <c r="A1" s="1" t="n"/>
      <c r="B1" s="1" t="n"/>
      <c r="C1" s="1" t="n"/>
      <c r="D1" s="1" t="n"/>
      <c r="E1" s="2" t="n"/>
      <c r="F1" s="1" t="n"/>
      <c r="G1" s="1" t="n"/>
      <c r="H1" s="1" t="n"/>
      <c r="I1" s="2" t="n"/>
      <c r="J1" s="2" t="n"/>
      <c r="K1" s="1" t="n"/>
      <c r="L1" s="1" t="n"/>
      <c r="M1" s="1" t="n"/>
      <c r="N1" s="2" t="n"/>
    </row>
    <row r="2" ht="22.5" customHeight="1" s="13">
      <c r="A2" s="2" t="n"/>
      <c r="B2" s="3" t="inlineStr">
        <is>
          <t>Pais</t>
        </is>
      </c>
      <c r="C2" s="3" t="inlineStr">
        <is>
          <t>ClaveTerritorio</t>
        </is>
      </c>
      <c r="D2" s="3" t="inlineStr">
        <is>
          <t>ingresos</t>
        </is>
      </c>
      <c r="E2" s="3" t="inlineStr">
        <is>
          <t>costos</t>
        </is>
      </c>
      <c r="F2" s="3" t="inlineStr">
        <is>
          <t>CostoCampanas</t>
        </is>
      </c>
      <c r="G2" s="3" t="inlineStr">
        <is>
          <t>BeneficioBruto</t>
        </is>
      </c>
      <c r="H2" s="3" t="inlineStr">
        <is>
          <t>Margen_pct</t>
        </is>
      </c>
      <c r="I2" s="3" t="inlineStr">
        <is>
          <t>ROI_pct</t>
        </is>
      </c>
      <c r="J2" s="2" t="n"/>
      <c r="K2" s="16" t="inlineStr">
        <is>
          <t>INSIGHT C F I</t>
        </is>
      </c>
      <c r="L2" s="17" t="n"/>
      <c r="M2" s="18" t="n"/>
      <c r="N2" s="2" t="n"/>
    </row>
    <row r="3" ht="19.5" customHeight="1" s="13">
      <c r="A3" s="2" t="n"/>
      <c r="B3" s="4" t="inlineStr">
        <is>
          <t>United States</t>
        </is>
      </c>
      <c r="C3" s="4" t="n">
        <v>1</v>
      </c>
      <c r="D3" s="5" t="n">
        <v>3353939.92</v>
      </c>
      <c r="E3" s="5" t="n">
        <v>1899471.33</v>
      </c>
      <c r="F3" s="5" t="n">
        <v>1920000</v>
      </c>
      <c r="G3" s="5" t="n">
        <v>1454468.6</v>
      </c>
      <c r="H3" s="6" t="n">
        <v>0.4337</v>
      </c>
      <c r="I3" s="6" t="n">
        <v>0.7575</v>
      </c>
      <c r="J3" s="2" t="n"/>
      <c r="K3" s="7" t="inlineStr">
        <is>
          <t>Contexto:</t>
        </is>
      </c>
      <c r="L3" s="8" t="n"/>
      <c r="M3" s="9" t="n"/>
      <c r="N3" s="2" t="n"/>
    </row>
    <row r="4" ht="19.5" customHeight="1" s="13">
      <c r="A4" s="10" t="n"/>
      <c r="B4" s="4" t="inlineStr">
        <is>
          <t>Australia</t>
        </is>
      </c>
      <c r="C4" s="4" t="n">
        <v>9</v>
      </c>
      <c r="D4" s="5" t="n">
        <v>2532003.49</v>
      </c>
      <c r="E4" s="5" t="n">
        <v>1474958.18</v>
      </c>
      <c r="F4" s="5" t="n">
        <v>2150400</v>
      </c>
      <c r="G4" s="5" t="n">
        <v>1057045.31</v>
      </c>
      <c r="H4" s="6" t="n">
        <v>0.4175</v>
      </c>
      <c r="I4" s="6" t="n">
        <v>0.4916</v>
      </c>
      <c r="J4" s="10" t="n"/>
      <c r="K4" s="25" t="inlineStr">
        <is>
          <t>Tomé los datos financieros de cada país revisando la tabla con toda la información relevante en materia monetaria (ingresos, costos, gasto de campañas, beneficio bruto, margen y ROI). Con esto resolví dónde está el mayor aporte económico y en qué punto las campañas están invirtiendo de más y recibiendo menos retorno.</t>
        </is>
      </c>
      <c r="M4" s="14" t="n"/>
      <c r="N4" s="10" t="n"/>
    </row>
    <row r="5" ht="19.5" customHeight="1" s="13">
      <c r="A5" s="2" t="n"/>
      <c r="B5" s="4" t="inlineStr">
        <is>
          <t>United Kingdom</t>
        </is>
      </c>
      <c r="C5" s="4" t="n">
        <v>10</v>
      </c>
      <c r="D5" s="5" t="n">
        <v>1189636.78</v>
      </c>
      <c r="E5" s="5" t="n">
        <v>681508.55</v>
      </c>
      <c r="F5" s="5" t="n">
        <v>2304000</v>
      </c>
      <c r="G5" s="5" t="n">
        <v>508128.24</v>
      </c>
      <c r="H5" s="6" t="n">
        <v>0.4271</v>
      </c>
      <c r="I5" s="6" t="n">
        <v>0.2205</v>
      </c>
      <c r="J5" s="2" t="n"/>
      <c r="K5" s="23" t="n"/>
      <c r="M5" s="14" t="n"/>
      <c r="N5" s="2" t="n"/>
    </row>
    <row r="6" ht="19.5" customHeight="1" s="13">
      <c r="A6" s="2" t="n"/>
      <c r="B6" s="4" t="inlineStr">
        <is>
          <t>Germany</t>
        </is>
      </c>
      <c r="C6" s="4" t="n">
        <v>8</v>
      </c>
      <c r="D6" s="5" t="n">
        <v>1071460.42</v>
      </c>
      <c r="E6" s="5" t="n">
        <v>611295.36</v>
      </c>
      <c r="F6" s="5" t="n">
        <v>2265600</v>
      </c>
      <c r="G6" s="5" t="n">
        <v>460165.06</v>
      </c>
      <c r="H6" s="6" t="n">
        <v>0.4295</v>
      </c>
      <c r="I6" s="6" t="n">
        <v>0.2031</v>
      </c>
      <c r="J6" s="2" t="n"/>
      <c r="K6" s="7" t="inlineStr">
        <is>
          <t>Hallazgos</t>
        </is>
      </c>
      <c r="L6" s="8" t="n"/>
      <c r="M6" s="9" t="n"/>
      <c r="N6" s="2" t="n"/>
    </row>
    <row r="7" ht="19.5" customHeight="1" s="13">
      <c r="A7" s="10" t="n"/>
      <c r="B7" s="4" t="inlineStr">
        <is>
          <t>France</t>
        </is>
      </c>
      <c r="C7" s="4" t="n">
        <v>7</v>
      </c>
      <c r="D7" s="5" t="n">
        <v>924316.9300000001</v>
      </c>
      <c r="E7" s="5" t="n">
        <v>527797.14</v>
      </c>
      <c r="F7" s="5" t="n">
        <v>2208000</v>
      </c>
      <c r="G7" s="5" t="n">
        <v>396519.79</v>
      </c>
      <c r="H7" s="6" t="n">
        <v>0.429</v>
      </c>
      <c r="I7" s="6" t="n">
        <v>0.1796</v>
      </c>
      <c r="J7" s="10" t="n"/>
      <c r="K7" s="15" t="inlineStr">
        <is>
          <t>1) Estados Unidos, por un lado, es el mayor y mejor mercado (3.35M en ingresos), con el beneficio bruto más alto (1.45M) y el ROI más alto (0.7575). Por otro lado, ese beneficio bruto no alcanza a cubrir el gasto de campañas (1.45M vs 1.92M). La conclusión es simple: hay que mejorar la eficiencia de ese gasto en Estados Unidos.</t>
        </is>
      </c>
      <c r="M7" s="14" t="n"/>
      <c r="N7" s="10" t="n"/>
    </row>
    <row r="8" ht="19.5" customHeight="1" s="13">
      <c r="A8" s="2" t="n"/>
      <c r="B8" s="4" t="inlineStr">
        <is>
          <t>Canada</t>
        </is>
      </c>
      <c r="C8" s="4" t="n">
        <v>6</v>
      </c>
      <c r="D8" s="5" t="n">
        <v>710205.1800000001</v>
      </c>
      <c r="E8" s="5" t="n">
        <v>392325.91</v>
      </c>
      <c r="F8" s="5" t="n">
        <v>1824000</v>
      </c>
      <c r="G8" s="5" t="n">
        <v>317879.27</v>
      </c>
      <c r="H8" s="6" t="n">
        <v>0.4476</v>
      </c>
      <c r="I8" s="6" t="n">
        <v>0.1743</v>
      </c>
      <c r="J8" s="2" t="n"/>
      <c r="K8" s="23" t="n"/>
      <c r="M8" s="14" t="n"/>
      <c r="N8" s="2" t="n"/>
    </row>
    <row r="9" ht="19.5" customHeight="1" s="13">
      <c r="A9" s="2" t="n"/>
      <c r="B9" s="2" t="n"/>
      <c r="C9" s="2" t="n"/>
      <c r="D9" s="2" t="n"/>
      <c r="E9" s="2" t="n"/>
      <c r="F9" s="2" t="n"/>
      <c r="G9" s="2" t="n"/>
      <c r="H9" s="2" t="n"/>
      <c r="I9" s="2" t="n"/>
      <c r="J9" s="2" t="n"/>
      <c r="K9" s="15" t="inlineStr">
        <is>
          <t>2) Hay países donde la efectividad del marketing no es buena, aunque generen márgenes altos de ganancia. Canadá, por ejemplo, tiene un beneficio bruto de 0.32M y un margen de 44.76%, pero un ROI bajo de 0.1743 con un gasto de 1.82M. Sus costos casi igualan a los invertidos en Estados Unidos, con mucha menos ganancia. El ROI de Estados Unidos es 75.75% y el de Canadá es 17%. Son dos mercados con lógicas distintas, por lo que invertir tanto en Canadá para tan poco ROI no es viable. Lo mismo pasa en Francia y Reino Unido.</t>
        </is>
      </c>
      <c r="M9" s="14" t="n"/>
      <c r="N9" s="2" t="n"/>
    </row>
    <row r="10" ht="19.5" customHeight="1" s="13">
      <c r="A10" s="2" t="n"/>
      <c r="B10" s="24" t="inlineStr">
        <is>
          <t>¿Cuál es la diferencia entre Margen y ROI?</t>
        </is>
      </c>
      <c r="C10" s="17" t="n"/>
      <c r="D10" s="17" t="n"/>
      <c r="E10" s="17" t="n"/>
      <c r="F10" s="17" t="n"/>
      <c r="G10" s="17" t="n"/>
      <c r="H10" s="17" t="n"/>
      <c r="I10" s="18" t="n"/>
      <c r="J10" s="2" t="n"/>
      <c r="K10" s="23" t="n"/>
      <c r="M10" s="14" t="n"/>
      <c r="N10" s="2" t="n"/>
    </row>
    <row r="11" ht="19.5" customHeight="1" s="13">
      <c r="A11" s="2" t="n"/>
      <c r="B11" s="22" t="inlineStr">
        <is>
          <t>1) En resumen, el ROI mide la eficiencia del marketing al relacionar los beneficios contra el costo de las campañas. El margen, en cambio, mide la rentabilidad sobre las ventas, es decir, los beneficios sobre los ingresos finales. Hay casos con alta rentabilidad pero bajo ROI, porque el gasto de marketing es excesivo para el tamaño de ventas. Ese es el caso de Canadá en este análisis.</t>
        </is>
      </c>
      <c r="I11" s="14" t="n"/>
      <c r="J11" s="2" t="n"/>
      <c r="K11" s="15" t="inlineStr">
        <is>
          <t>3) El ROI cambia principalmente por la relación entre el gasto de campañas y el tamaño del mercado. Los márgenes tienen un rango estrecho, entre 41% y 44%, pero en el ROI se nota que hay campañas donde el retorno frente al gasto es menor. El ROI disminuye en países donde el gasto en campañas es similar al de otros mercados pero el mercado en sí es más pequeño. Un caso interesante es Australia, que tiene un margen de 41% pero un ROI de 49%.</t>
        </is>
      </c>
      <c r="M11" s="14" t="n"/>
      <c r="N11" s="2" t="n"/>
    </row>
    <row r="12" ht="19.5" customHeight="1" s="13">
      <c r="A12" s="2" t="n"/>
      <c r="B12" s="12" t="inlineStr">
        <is>
          <t>¿Por qué el ROI en Estados Unidos es tan alto comparado con otros países?</t>
        </is>
      </c>
      <c r="I12" s="14" t="n"/>
      <c r="J12" s="2" t="n"/>
      <c r="K12" s="23" t="n"/>
      <c r="M12" s="14" t="n"/>
      <c r="N12" s="2" t="n"/>
    </row>
    <row r="13" ht="19.5" customHeight="1" s="13">
      <c r="A13" s="2" t="n"/>
      <c r="B13" s="15" t="inlineStr">
        <is>
          <t>Estados Unidos lidera en volumen de ingresos (3.35M), beneficio bruto (1.45M) y ROI (75.75%), impulsado por el tamaño y dinamismo de su mercado de consumo.</t>
        </is>
      </c>
      <c r="I13" s="14" t="n"/>
      <c r="J13" s="2" t="n"/>
      <c r="K13" s="7" t="inlineStr">
        <is>
          <t>Implicación</t>
        </is>
      </c>
      <c r="L13" s="8" t="n"/>
      <c r="M13" s="9" t="n"/>
      <c r="N13" s="2" t="n"/>
    </row>
    <row r="14" ht="19.5" customHeight="1" s="13">
      <c r="A14" s="10" t="n"/>
      <c r="B14" s="12" t="inlineStr">
        <is>
          <t>Si aumentáramos el gasto de campañas en un 50%, ¿qué pasaría con el ROI?</t>
        </is>
      </c>
      <c r="I14" s="14" t="n"/>
      <c r="J14" s="10" t="n"/>
      <c r="K14" s="15" t="inlineStr">
        <is>
          <t>Propongo reasignar el presupuesto de marketing de la siguiente manera. Canadá, Francia, Alemania y Reino Unido no están dando su mejor resultado, así que conviene reducir su inversión y rediseñar las campañas para ese público, más europeo en su consumo y estilo de vida, aunque Canadá sea América del Norte. En Francia, por ejemplo, el marketing funciona mejor con un enfoque más intelectual y abierto. Estados Unidos y Australia deben ser la prioridad de inversión, con metas de mejora de ROI definidas por trimestre.</t>
        </is>
      </c>
      <c r="M14" s="14" t="n"/>
      <c r="N14" s="10" t="n"/>
    </row>
    <row r="15" ht="19.5" customHeight="1" s="13">
      <c r="A15" s="10" t="n"/>
      <c r="B15" s="19" t="inlineStr">
        <is>
          <t>Un incremento del 50% en el gasto de campañas sin un aumento equivalente en beneficio bruto reduciría el ROI. La estrategia óptima es incrementar la inversión de forma gradual y controlada, monitoreando el ROI por etapas.</t>
        </is>
      </c>
      <c r="C15" s="20" t="n"/>
      <c r="D15" s="20" t="n"/>
      <c r="E15" s="20" t="n"/>
      <c r="F15" s="20" t="n"/>
      <c r="G15" s="20" t="n"/>
      <c r="H15" s="20" t="n"/>
      <c r="I15" s="21" t="n"/>
      <c r="J15" s="10" t="n"/>
      <c r="K15" s="23" t="n"/>
      <c r="M15" s="14" t="n"/>
      <c r="N15" s="10" t="n"/>
    </row>
    <row r="16" ht="19.5" customHeight="1" s="13">
      <c r="A16" s="2" t="n"/>
      <c r="B16" s="2" t="n"/>
      <c r="C16" s="2" t="n"/>
      <c r="D16" s="2" t="n"/>
      <c r="E16" s="2" t="n"/>
      <c r="F16" s="2" t="n"/>
      <c r="G16" s="2" t="n"/>
      <c r="H16" s="2" t="n"/>
      <c r="I16" s="2" t="n"/>
      <c r="J16" s="2" t="n"/>
      <c r="K16" s="26" t="inlineStr">
        <is>
          <t>Se recomienda reasignar el presupuesto de marketing priorizando USA y Australia (mayor ROI), reduciendo inversión en mercados europeos y Canadá hasta optimizar campañas locales. Estrategia: adaptar mensajes culturalmente por mercado y escalar inversión proporcionalmente al tamaño del mercado.</t>
        </is>
      </c>
      <c r="M16" s="14" t="n"/>
      <c r="N16" s="2" t="n"/>
    </row>
    <row r="17" ht="19.5" customHeight="1" s="13">
      <c r="A17" s="2" t="n"/>
      <c r="B17" s="2" t="n"/>
      <c r="C17" s="2" t="n"/>
      <c r="D17" s="2" t="n"/>
      <c r="E17" s="2" t="n"/>
      <c r="F17" s="2" t="n"/>
      <c r="G17" s="2" t="n"/>
      <c r="H17" s="2" t="n"/>
      <c r="I17" s="2" t="n"/>
      <c r="J17" s="2" t="n"/>
      <c r="K17" s="27" t="n"/>
      <c r="L17" s="20" t="n"/>
      <c r="M17" s="21" t="n"/>
      <c r="N17" s="2" t="n"/>
    </row>
    <row r="18" ht="13.2" customHeight="1" s="13">
      <c r="A18" s="2" t="n"/>
      <c r="B18" s="2" t="n"/>
      <c r="C18" s="2" t="n"/>
      <c r="D18" s="2" t="n"/>
      <c r="E18" s="2" t="n"/>
      <c r="F18" s="2" t="n"/>
      <c r="G18" s="2" t="n"/>
      <c r="H18" s="2" t="n"/>
      <c r="I18" s="2" t="n"/>
      <c r="J18" s="2" t="n"/>
      <c r="K18" s="2" t="n"/>
      <c r="L18" s="2" t="n"/>
      <c r="M18" s="2" t="n"/>
      <c r="N18" s="2" t="n"/>
    </row>
  </sheetData>
  <mergeCells count="13">
    <mergeCell ref="B12:I12"/>
    <mergeCell ref="B13:I13"/>
    <mergeCell ref="K2:M2"/>
    <mergeCell ref="B15:I15"/>
    <mergeCell ref="B11:I11"/>
    <mergeCell ref="K14:M15"/>
    <mergeCell ref="B10:I10"/>
    <mergeCell ref="K11:M12"/>
    <mergeCell ref="K9:M10"/>
    <mergeCell ref="B14:I14"/>
    <mergeCell ref="K4:M5"/>
    <mergeCell ref="K16:M17"/>
    <mergeCell ref="K7:M8"/>
  </mergeCells>
  <dataValidations count="1">
    <dataValidation sqref="D3:I8" showDropDown="1" showInputMessage="0" showErrorMessage="0" allowBlank="1" type="custom">
      <formula1>AND(ISNUMBER(D3),(NOT(OR(NOT(ISERROR(DATEVALUE(D3))), AND(ISNUMBER(D3), LEFT(CELL("format", D3))="D")))))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2026-05-11T17:35:19Z</dcterms:created>
  <dcterms:modified xmlns:dcterms="http://purl.org/dc/terms/" xmlns:xsi="http://www.w3.org/2001/XMLSchema-instance" xsi:type="dcterms:W3CDTF">2026-09-15T23:50:51Z</dcterms:modified>
  <cp:lastModifiedBy>German Rojas</cp:lastModifiedBy>
</cp:coreProperties>
</file>